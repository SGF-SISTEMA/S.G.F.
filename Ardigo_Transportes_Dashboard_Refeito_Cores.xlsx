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F97E3AD1-91F8-3B43-892F-85595EDB44C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Média Mensal" sheetId="2" r:id="rId2"/>
    <sheet name="Resumo Mensal" sheetId="3" r:id="rId3"/>
  </sheets>
  <definedNames>
    <definedName name="_xlnm._FilterDatabase" localSheetId="1" hidden="1">'Média Mensal'!$A$1:$P$16</definedName>
    <definedName name="_xlnm.Print_Area" localSheetId="0">Dashboard!$A$1:$P$39</definedName>
  </definedName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E13" i="3"/>
  <c r="D13" i="3"/>
  <c r="B12" i="3"/>
  <c r="E12" i="3"/>
  <c r="D12" i="3"/>
  <c r="B11" i="3"/>
  <c r="E11" i="3"/>
  <c r="D11" i="3"/>
  <c r="B10" i="3"/>
  <c r="E10" i="3"/>
  <c r="D10" i="3"/>
  <c r="B9" i="3"/>
  <c r="E9" i="3"/>
  <c r="D9" i="3"/>
  <c r="B8" i="3"/>
  <c r="E8" i="3"/>
  <c r="D8" i="3"/>
  <c r="B7" i="3"/>
  <c r="E7" i="3"/>
  <c r="D7" i="3"/>
  <c r="B6" i="3"/>
  <c r="E6" i="3"/>
  <c r="D6" i="3"/>
  <c r="B5" i="3"/>
  <c r="E5" i="3"/>
  <c r="D5" i="3"/>
  <c r="B4" i="3"/>
  <c r="E4" i="3"/>
  <c r="D4" i="3"/>
  <c r="B3" i="3"/>
  <c r="E3" i="3"/>
  <c r="D3" i="3"/>
  <c r="B2" i="3"/>
  <c r="E2" i="3"/>
  <c r="D2" i="3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M5" i="1"/>
  <c r="I5" i="1"/>
  <c r="E5" i="1"/>
  <c r="A5" i="1"/>
</calcChain>
</file>

<file path=xl/sharedStrings.xml><?xml version="1.0" encoding="utf-8"?>
<sst xmlns="http://schemas.openxmlformats.org/spreadsheetml/2006/main" count="153" uniqueCount="70">
  <si>
    <t>ARDIGO TRANSPORTES</t>
  </si>
  <si>
    <t>PAINEL DE EFICIÊNCIA DA FROTA     /     CONSUMO MÉDIO • KM POR LITRO</t>
  </si>
  <si>
    <t>MÉDIA MAIS RECENTE</t>
  </si>
  <si>
    <t>META DA FROTA</t>
  </si>
  <si>
    <t>REGISTROS DE CONSUMO</t>
  </si>
  <si>
    <t>MESES COM DADOS</t>
  </si>
  <si>
    <t>EVOLUÇÃO MENSAL DO CONSUMO</t>
  </si>
  <si>
    <t>DISTRIBUIÇÃO DO DESEMPENHO</t>
  </si>
  <si>
    <t>Mês</t>
  </si>
  <si>
    <t>Média (km/L)</t>
  </si>
  <si>
    <t>Meta</t>
  </si>
  <si>
    <t>Registros</t>
  </si>
  <si>
    <t>Situação</t>
  </si>
  <si>
    <t>Quantidade</t>
  </si>
  <si>
    <t>Jan/26</t>
  </si>
  <si>
    <t>Bom</t>
  </si>
  <si>
    <t>Fev/26</t>
  </si>
  <si>
    <t>Ruim</t>
  </si>
  <si>
    <t>Mar/26</t>
  </si>
  <si>
    <t>Na meta</t>
  </si>
  <si>
    <t>Abr/26</t>
  </si>
  <si>
    <t>Sem dados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</si>
  <si>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</si>
  <si>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</si>
  <si>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</si>
  <si>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</si>
  <si>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</si>
  <si>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</si>
  <si>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</si>
  <si>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</si>
  <si>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DESEMPENHO POR MOTORISTA</t>
  </si>
  <si>
    <t>Motorista</t>
  </si>
  <si>
    <t>Caminhão</t>
  </si>
  <si>
    <t>Média anual (km/L)</t>
  </si>
  <si>
    <t>Status</t>
  </si>
  <si>
    <t>Diego Carvalho</t>
  </si>
  <si>
    <t>ARD-008</t>
  </si>
  <si>
    <t>Carlos Mendes</t>
  </si>
  <si>
    <t>ARD-001</t>
  </si>
  <si>
    <t>Renato Costa</t>
  </si>
  <si>
    <t>ARD-011</t>
  </si>
  <si>
    <t>Mateus Barbosa</t>
  </si>
  <si>
    <t>ARD-015</t>
  </si>
  <si>
    <t>Bruno Almeida</t>
  </si>
  <si>
    <t>ARD-006</t>
  </si>
  <si>
    <t>Rafael Santos</t>
  </si>
  <si>
    <t>ARD-004</t>
  </si>
  <si>
    <t>Eduardo Lima</t>
  </si>
  <si>
    <t>ARD-013</t>
  </si>
  <si>
    <t>João Ribeiro</t>
  </si>
  <si>
    <t>ARD-002</t>
  </si>
  <si>
    <t>Vinícius Rocha</t>
  </si>
  <si>
    <t>ARD-014</t>
  </si>
  <si>
    <t>Painel demonstrativo • Atualize os dados na aba “Média Mensal” e confira os registros antes de usar em decisões operacionais.</t>
  </si>
  <si>
    <t>Lucas Ferreira</t>
  </si>
  <si>
    <t>ARD-005</t>
  </si>
  <si>
    <t>Gustavo Pereira</t>
  </si>
  <si>
    <t>ARD-010</t>
  </si>
  <si>
    <t>André Martins</t>
  </si>
  <si>
    <t>ARD-007</t>
  </si>
  <si>
    <t>Thiago Nunes</t>
  </si>
  <si>
    <t>ARD-012</t>
  </si>
  <si>
    <t>Marcos Oliveira</t>
  </si>
  <si>
    <t>ARD-003</t>
  </si>
  <si>
    <t>Média do ano</t>
  </si>
  <si>
    <t>Felipe Rodrigues</t>
  </si>
  <si>
    <t>ARD-009</t>
  </si>
  <si>
    <t>Média da frota (km/L)</t>
  </si>
  <si>
    <t>Meta (km/L)</t>
  </si>
  <si>
    <t>Registros preenchidos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</si>
</sst>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 km/L&quot;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color rgb="FFFFFFFF"/>
      <name val="Calibri"/>
    </font>
    <font>
      <sz val="10"/>
      <color rgb="FF243B47"/>
      <name val="Aptos"/>
    </font>
    <font>
      <b/>
      <sz val="23"/>
      <color rgb="FFFFFFFF"/>
      <name val="Aptos Display"/>
    </font>
    <font>
      <b/>
      <sz val="10"/>
      <color rgb="FFCFF2E5"/>
      <name val="Calibri"/>
    </font>
    <font>
      <b/>
      <sz val="22"/>
      <color rgb="FF19A886"/>
      <name val="Calibri"/>
    </font>
    <font>
      <b/>
      <sz val="22"/>
      <color rgb="FFF5A65B"/>
      <name val="Calibri"/>
    </font>
    <font>
      <b/>
      <sz val="12"/>
      <color rgb="FF102A3A"/>
      <name val="Calibri"/>
    </font>
    <font>
      <i/>
      <sz val="9"/>
      <color rgb="FF71838B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2F7F6"/>
      </patternFill>
    </fill>
    <fill>
      <patternFill patternType="solid">
        <fgColor rgb="FF102A3A"/>
      </patternFill>
    </fill>
    <fill>
      <patternFill patternType="solid">
        <fgColor rgb="FF1C4050"/>
      </patternFill>
    </fill>
    <fill>
      <patternFill patternType="solid">
        <fgColor rgb="FF19A886"/>
      </patternFill>
    </fill>
    <fill>
      <patternFill patternType="solid">
        <fgColor rgb="FFEAF3F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D9E5E1"/>
      </left>
      <right style="thin">
        <color rgb="FFD9E5E1"/>
      </right>
      <top style="thin">
        <color rgb="FFD9E5E1"/>
      </top>
      <bottom style="thin">
        <color rgb="FFD9E5E1"/>
      </bottom>
      <diagonal/>
    </border>
    <border>
      <left/>
      <right/>
      <top/>
      <bottom style="thin">
        <color rgb="FFD9E5E1"/>
      </bottom>
      <diagonal/>
    </border>
    <border>
      <left/>
      <right/>
      <top style="thin">
        <color rgb="FFD9E5E1"/>
      </top>
      <bottom/>
      <diagonal/>
    </border>
    <border>
      <left/>
      <right style="thin">
        <color rgb="FFD9E5E1"/>
      </right>
      <top style="thin">
        <color rgb="FFD9E5E1"/>
      </top>
      <bottom/>
      <diagonal/>
    </border>
    <border>
      <left style="thin">
        <color rgb="FFD9E5E1"/>
      </left>
      <right/>
      <top/>
      <bottom style="thin">
        <color rgb="FFD9E5E1"/>
      </bottom>
      <diagonal/>
    </border>
    <border>
      <left/>
      <right/>
      <top/>
      <bottom style="thin">
        <color rgb="FFD9E5E1"/>
      </bottom>
      <diagonal/>
    </border>
    <border>
      <left/>
      <right style="thin">
        <color rgb="FFD9E5E1"/>
      </right>
      <top/>
      <bottom style="thin">
        <color rgb="FFD9E5E1"/>
      </bottom>
      <diagonal/>
    </border>
    <border>
      <left/>
      <right/>
      <top style="thin">
        <color rgb="FFD9E5E1"/>
      </top>
      <bottom style="thin">
        <color rgb="FFD9E5E1"/>
      </bottom>
      <diagonal/>
    </border>
    <border>
      <left/>
      <right style="thin">
        <color rgb="FFD9E5E1"/>
      </right>
      <top style="thin">
        <color rgb="FFD9E5E1"/>
      </top>
      <bottom style="thin">
        <color rgb="FFD9E5E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3" fillId="4" borderId="0" xfId="0" applyFont="1" applyFill="1" applyAlignment="1">
      <alignment vertic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vertical="center"/>
    </xf>
    <xf numFmtId="0" fontId="3" fillId="3" borderId="3" xfId="0" applyFont="1" applyFill="1" applyBorder="1" applyAlignment="1">
      <alignment horizontal="left"/>
    </xf>
    <xf numFmtId="2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vertical="center"/>
    </xf>
    <xf numFmtId="0" fontId="3" fillId="8" borderId="3" xfId="0" applyFont="1" applyFill="1" applyBorder="1" applyAlignment="1">
      <alignment horizontal="left"/>
    </xf>
    <xf numFmtId="2" fontId="3" fillId="8" borderId="3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7" borderId="0" xfId="0" applyFont="1" applyFill="1" applyAlignment="1">
      <alignment horizontal="center" wrapText="1"/>
    </xf>
    <xf numFmtId="0" fontId="0" fillId="3" borderId="3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left"/>
    </xf>
    <xf numFmtId="0" fontId="0" fillId="8" borderId="3" xfId="0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left" vertical="center" inden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6" fillId="3" borderId="2" xfId="0" applyNumberFormat="1" applyFont="1" applyFill="1" applyBorder="1" applyAlignment="1">
      <alignment horizontal="left" vertical="center" indent="1"/>
    </xf>
    <xf numFmtId="0" fontId="2" fillId="6" borderId="2" xfId="0" applyFont="1" applyFill="1" applyBorder="1" applyAlignment="1">
      <alignment horizontal="left" vertical="center" indent="1"/>
    </xf>
    <xf numFmtId="0" fontId="0" fillId="0" borderId="9" xfId="0" applyBorder="1"/>
    <xf numFmtId="0" fontId="0" fillId="0" borderId="10" xfId="0" applyBorder="1"/>
    <xf numFmtId="0" fontId="4" fillId="5" borderId="0" xfId="0" applyFont="1" applyFill="1" applyAlignment="1">
      <alignment vertical="center" indent="1"/>
    </xf>
    <xf numFmtId="0" fontId="0" fillId="0" borderId="0" xfId="0"/>
    <xf numFmtId="0" fontId="5" fillId="6" borderId="0" xfId="0" applyFont="1" applyFill="1" applyAlignment="1">
      <alignment vertical="center" indent="2"/>
    </xf>
    <xf numFmtId="0" fontId="8" fillId="4" borderId="0" xfId="0" applyFont="1" applyFill="1" applyAlignment="1">
      <alignment vertical="center"/>
    </xf>
    <xf numFmtId="0" fontId="9" fillId="4" borderId="0" xfId="0" applyFont="1" applyFill="1" applyAlignment="1">
      <alignment horizontal="left"/>
    </xf>
    <xf numFmtId="164" fontId="7" fillId="3" borderId="2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9">
    <dxf>
      <fill>
        <patternFill patternType="solid">
          <fgColor rgb="FFC6EFCE"/>
        </patternFill>
      </fill>
    </dxf>
    <dxf>
      <font>
        <b/>
        <color rgb="FF134F5C"/>
      </font>
      <fill>
        <patternFill patternType="solid">
          <fgColor rgb="FFD9EAF7"/>
        </patternFill>
      </fill>
    </dxf>
    <dxf>
      <font>
        <b/>
        <color rgb="FF990000"/>
      </font>
      <fill>
        <patternFill patternType="solid">
          <fgColor rgb="FFF4CCCC"/>
        </patternFill>
      </fill>
    </dxf>
    <dxf>
      <font>
        <b/>
        <color rgb="FF274E13"/>
      </font>
      <fill>
        <patternFill patternType="solid">
          <fgColor rgb="FFD9EAD3"/>
        </patternFill>
      </fill>
    </dxf>
    <dxf>
      <font>
        <b/>
        <color rgb="FF134F5C"/>
      </font>
      <fill>
        <patternFill patternType="solid">
          <fgColor rgb="FFD9EAF7"/>
        </patternFill>
      </fill>
    </dxf>
    <dxf>
      <font>
        <b/>
        <color rgb="FF990000"/>
      </font>
      <fill>
        <patternFill patternType="solid">
          <fgColor rgb="FFF4CCCC"/>
        </patternFill>
      </fill>
    </dxf>
    <dxf>
      <font>
        <b/>
        <color rgb="FF274E13"/>
      </font>
      <fill>
        <patternFill patternType="solid">
          <fgColor rgb="FFD9EAD3"/>
        </patternFill>
      </fill>
    </dxf>
    <dxf>
      <fill>
        <patternFill patternType="solid">
          <fgColor rgb="FFFBE2DE"/>
        </patternFill>
      </fill>
    </dxf>
    <dxf>
      <fill>
        <patternFill patternType="solid">
          <fgColor rgb="FFDDF4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Consumo médio x meta mensal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Dashboard!B10</c:f>
              <c:strCache>
                <c:ptCount val="1"/>
                <c:pt idx="0">
                  <c:v>Média (km/L)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Dashboard!$A$11:$A$22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Dashboard!$B$11:$B$22</c:f>
              <c:numCache>
                <c:formatCode>0.00</c:formatCode>
                <c:ptCount val="12"/>
                <c:pt idx="0">
                  <c:v>3.0173333333333332</c:v>
                </c:pt>
                <c:pt idx="1">
                  <c:v>3.044</c:v>
                </c:pt>
                <c:pt idx="2">
                  <c:v>3.071333333333333</c:v>
                </c:pt>
                <c:pt idx="3">
                  <c:v>3.0946666666666669</c:v>
                </c:pt>
                <c:pt idx="4">
                  <c:v>3.1166666666666671</c:v>
                </c:pt>
                <c:pt idx="5">
                  <c:v>3.1226666666666669</c:v>
                </c:pt>
                <c:pt idx="6">
                  <c:v>3.1426666666666661</c:v>
                </c:pt>
                <c:pt idx="7">
                  <c:v>3.162666666666667</c:v>
                </c:pt>
                <c:pt idx="8">
                  <c:v>3.1406666666666672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48-984E-AB12-260C862953A4}"/>
            </c:ext>
          </c:extLst>
        </c:ser>
        <c:ser>
          <c:idx val="1"/>
          <c:order val="1"/>
          <c:tx>
            <c:strRef>
              <c:f>Dashboard!C10</c:f>
              <c:strCache>
                <c:ptCount val="1"/>
                <c:pt idx="0">
                  <c:v>Meta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Dashboard!$A$11:$A$22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Dashboard!$C$11:$C$22</c:f>
              <c:numCache>
                <c:formatCode>0.00</c:formatCode>
                <c:ptCount val="12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3.2</c:v>
                </c:pt>
                <c:pt idx="6">
                  <c:v>3.2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0">
                  <c:v>3.2</c:v>
                </c:pt>
                <c:pt idx="11">
                  <c:v>3.2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E48-984E-AB12-260C86295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km/L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Status dos meses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Dashboard!J10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9E5B"/>
              </a:solidFill>
              <a:ln>
                <a:prstDash val="solid"/>
              </a:ln>
            </c:spPr>
          </c:dPt>
          <c:dPt>
            <c:idx val="1"/>
            <c:bubble3D val="0"/>
            <c:spPr>
              <a:solidFill>
                <a:srgbClr val="C74747"/>
              </a:solidFill>
              <a:ln>
                <a:prstDash val="solid"/>
              </a:ln>
            </c:spPr>
          </c:dPt>
          <c:dPt>
            <c:idx val="2"/>
            <c:bubble3D val="0"/>
            <c:spPr>
              <a:solidFill>
                <a:srgbClr val="9CA3AF"/>
              </a:solidFill>
              <a:ln>
                <a:prstDash val="solid"/>
              </a:ln>
            </c:spPr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Dashboard!$I$11:$I$13</c:f>
              <c:strCache>
                <c:ptCount val="3"/>
                <c:pt idx="0">
                  <c:v>Bom</c:v>
                </c:pt>
                <c:pt idx="1">
                  <c:v>Ruim</c:v>
                </c:pt>
                <c:pt idx="2">
                  <c:v>Na meta</c:v>
                </c:pt>
              </c:strCache>
            </c:strRef>
          </c:cat>
          <c:val>
            <c:numRef>
              <c:f>Dashboard!$J$11:$J$13</c:f>
              <c:numCache>
                <c:formatCode>General</c:formatCode>
                <c:ptCount val="3"/>
                <c:pt idx="0">
                  <c:v>10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1-7C4A-8EC6-4003E36CC1D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0"/>
      </c:doughnutChart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Evolução da média de consumo da frota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'Resumo Mensal'!B1</c:f>
              <c:strCache>
                <c:ptCount val="1"/>
                <c:pt idx="0">
                  <c:v>Média da frota (km/L)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'Resumo Mensal'!$A$2:$A$13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'Resumo Mensal'!$B$2:$B$13</c:f>
              <c:numCache>
                <c:formatCode>0.00</c:formatCode>
                <c:ptCount val="12"/>
                <c:pt idx="0">
                  <c:v>3.0173333333333332</c:v>
                </c:pt>
                <c:pt idx="1">
                  <c:v>3.0439999999999996</c:v>
                </c:pt>
                <c:pt idx="2">
                  <c:v>3.071333333333333</c:v>
                </c:pt>
                <c:pt idx="3">
                  <c:v>3.0946666666666669</c:v>
                </c:pt>
                <c:pt idx="4">
                  <c:v>3.1166666666666671</c:v>
                </c:pt>
                <c:pt idx="5">
                  <c:v>3.1226666666666665</c:v>
                </c:pt>
                <c:pt idx="6">
                  <c:v>3.1426666666666665</c:v>
                </c:pt>
                <c:pt idx="7">
                  <c:v>3.162666666666667</c:v>
                </c:pt>
                <c:pt idx="8">
                  <c:v>3.1406666666666667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6C-2B47-BCED-FF1F88735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km/L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21</xdr:row>
      <xdr:rowOff>0</xdr:rowOff>
    </xdr:from>
    <xdr:ext cx="3600000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5</xdr:row>
      <xdr:rowOff>0</xdr:rowOff>
    </xdr:from>
    <xdr:ext cx="3240000" cy="19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A486"/>
    <pageSetUpPr fitToPage="1"/>
  </sheetPr>
  <dimension ref="A1:P44"/>
  <sheetViews>
    <sheetView showGridLines="0" tabSelected="1" topLeftCell="I1" zoomScale="75" workbookViewId="0">
      <pane ySplit="4" topLeftCell="I5" activePane="bottomLeft" state="frozen"/>
      <selection activeCell="I1" sqref="I1"/>
      <selection pane="bottomLeft"/>
    </sheetView>
  </sheetViews>
  <sheetFormatPr defaultRowHeight="15" x14ac:dyDescent="0.2"/>
  <cols>
    <col min="1" max="1" width="16.0078125" customWidth="1"/>
    <col min="2" max="2" width="13.98828125" customWidth="1"/>
    <col min="3" max="4" width="11.97265625" customWidth="1"/>
    <col min="5" max="5" width="18.0234375" customWidth="1"/>
    <col min="6" max="8" width="2.95703125" customWidth="1"/>
    <col min="9" max="9" width="18.96484375" customWidth="1"/>
    <col min="10" max="10" width="13.98828125" customWidth="1"/>
    <col min="11" max="11" width="16.94921875" customWidth="1"/>
    <col min="12" max="12" width="18.0234375" customWidth="1"/>
    <col min="13" max="16" width="11.02734375" customWidth="1"/>
  </cols>
  <sheetData>
    <row r="1" spans="1:16" ht="42" customHeight="1" x14ac:dyDescent="0.2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27" customHeight="1" x14ac:dyDescent="0.2">
      <c r="A2" s="33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2">
      <c r="A4" s="28" t="s">
        <v>2</v>
      </c>
      <c r="B4" s="29"/>
      <c r="C4" s="29"/>
      <c r="D4" s="30"/>
      <c r="E4" s="28" t="s">
        <v>3</v>
      </c>
      <c r="F4" s="29"/>
      <c r="G4" s="29"/>
      <c r="H4" s="30"/>
      <c r="I4" s="28" t="s">
        <v>4</v>
      </c>
      <c r="J4" s="29"/>
      <c r="K4" s="29"/>
      <c r="L4" s="30"/>
      <c r="M4" s="28" t="s">
        <v>5</v>
      </c>
      <c r="N4" s="29"/>
      <c r="O4" s="29"/>
      <c r="P4" s="30"/>
    </row>
    <row r="5" spans="1:16" ht="27.95" customHeight="1" x14ac:dyDescent="0.2">
      <c r="A5" s="27">
        <f>3.1407</f>
        <v>3.1406999999999998</v>
      </c>
      <c r="B5" s="22"/>
      <c r="C5" s="22"/>
      <c r="D5" s="23"/>
      <c r="E5" s="36">
        <f>3.2</f>
        <v>3.2</v>
      </c>
      <c r="F5" s="22"/>
      <c r="G5" s="22"/>
      <c r="H5" s="23"/>
      <c r="I5" s="21">
        <f>135</f>
        <v>135</v>
      </c>
      <c r="J5" s="22"/>
      <c r="K5" s="22"/>
      <c r="L5" s="23"/>
      <c r="M5" s="21">
        <f>9</f>
        <v>9</v>
      </c>
      <c r="N5" s="22"/>
      <c r="O5" s="22"/>
      <c r="P5" s="23"/>
    </row>
    <row r="6" spans="1:16" ht="27.95" customHeight="1" x14ac:dyDescent="0.2">
      <c r="A6" s="24"/>
      <c r="B6" s="25"/>
      <c r="C6" s="25"/>
      <c r="D6" s="26"/>
      <c r="E6" s="24"/>
      <c r="F6" s="25"/>
      <c r="G6" s="25"/>
      <c r="H6" s="26"/>
      <c r="I6" s="24"/>
      <c r="J6" s="25"/>
      <c r="K6" s="25"/>
      <c r="L6" s="26"/>
      <c r="M6" s="24"/>
      <c r="N6" s="25"/>
      <c r="O6" s="25"/>
      <c r="P6" s="26"/>
    </row>
    <row r="7" spans="1:16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21.95" customHeight="1" x14ac:dyDescent="0.2">
      <c r="A8" s="34" t="s">
        <v>6</v>
      </c>
      <c r="B8" s="32"/>
      <c r="C8" s="32"/>
      <c r="D8" s="32"/>
      <c r="E8" s="32"/>
      <c r="F8" s="32"/>
      <c r="G8" s="32"/>
      <c r="H8" s="32"/>
      <c r="I8" s="34" t="s">
        <v>7</v>
      </c>
      <c r="J8" s="32"/>
      <c r="K8" s="32"/>
      <c r="L8" s="32"/>
      <c r="M8" s="32"/>
      <c r="N8" s="32"/>
      <c r="O8" s="32"/>
      <c r="P8" s="32"/>
    </row>
    <row r="9" spans="1:16" ht="21.9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21.95" customHeight="1" x14ac:dyDescent="0.2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4"/>
      <c r="G10" s="4"/>
      <c r="H10" s="4"/>
      <c r="I10" s="6" t="s">
        <v>12</v>
      </c>
      <c r="J10" s="6" t="s">
        <v>13</v>
      </c>
      <c r="K10" s="4"/>
      <c r="L10" s="4"/>
      <c r="M10" s="4"/>
      <c r="N10" s="4"/>
      <c r="O10" s="4"/>
      <c r="P10" s="4"/>
    </row>
    <row r="11" spans="1:16" ht="21.95" customHeight="1" x14ac:dyDescent="0.2">
      <c r="A11" s="7" t="s">
        <v>14</v>
      </c>
      <c r="B11" s="8">
        <v>3.0173333333333332</v>
      </c>
      <c r="C11" s="8">
        <v>3.2</v>
      </c>
      <c r="D11" s="9">
        <v>15</v>
      </c>
      <c r="E11" s="9" t="s">
        <v>15</v>
      </c>
      <c r="F11" s="4"/>
      <c r="G11" s="4"/>
      <c r="H11" s="4"/>
      <c r="I11" s="10" t="s">
        <v>15</v>
      </c>
      <c r="J11" s="10">
        <v>10</v>
      </c>
      <c r="K11" s="4"/>
      <c r="L11" s="4"/>
      <c r="M11" s="4"/>
      <c r="N11" s="4"/>
      <c r="O11" s="4"/>
      <c r="P11" s="4"/>
    </row>
    <row r="12" spans="1:16" ht="21.95" customHeight="1" x14ac:dyDescent="0.2">
      <c r="A12" s="11" t="s">
        <v>16</v>
      </c>
      <c r="B12" s="12">
        <v>3.044</v>
      </c>
      <c r="C12" s="12">
        <v>3.2</v>
      </c>
      <c r="D12" s="13">
        <v>15</v>
      </c>
      <c r="E12" s="13" t="s">
        <v>15</v>
      </c>
      <c r="F12" s="4"/>
      <c r="G12" s="4"/>
      <c r="H12" s="4"/>
      <c r="I12" s="10" t="s">
        <v>17</v>
      </c>
      <c r="J12" s="10">
        <v>4</v>
      </c>
      <c r="K12" s="4"/>
      <c r="L12" s="4"/>
      <c r="M12" s="4"/>
      <c r="N12" s="4"/>
      <c r="O12" s="4"/>
      <c r="P12" s="4"/>
    </row>
    <row r="13" spans="1:16" ht="21.95" customHeight="1" x14ac:dyDescent="0.2">
      <c r="A13" s="7" t="s">
        <v>18</v>
      </c>
      <c r="B13" s="8">
        <v>3.071333333333333</v>
      </c>
      <c r="C13" s="8">
        <v>3.2</v>
      </c>
      <c r="D13" s="9">
        <v>15</v>
      </c>
      <c r="E13" s="9" t="s">
        <v>15</v>
      </c>
      <c r="F13" s="4"/>
      <c r="G13" s="4"/>
      <c r="H13" s="4"/>
      <c r="I13" s="10" t="s">
        <v>19</v>
      </c>
      <c r="J13" s="10">
        <v>0</v>
      </c>
      <c r="K13" s="4"/>
      <c r="L13" s="4"/>
      <c r="M13" s="4"/>
      <c r="N13" s="4"/>
      <c r="O13" s="4"/>
      <c r="P13" s="4"/>
    </row>
    <row r="14" spans="1:16" ht="21.95" customHeight="1" x14ac:dyDescent="0.2">
      <c r="A14" s="11" t="s">
        <v>20</v>
      </c>
      <c r="B14" s="12">
        <v>3.0946666666666669</v>
      </c>
      <c r="C14" s="12">
        <v>3.2</v>
      </c>
      <c r="D14" s="13">
        <v>15</v>
      </c>
      <c r="E14" s="13" t="s">
        <v>15</v>
      </c>
      <c r="F14" s="4"/>
      <c r="G14" s="4"/>
      <c r="H14" s="4"/>
      <c r="I14" s="4" t="s">
        <v>21</v>
      </c>
      <c r="J14" s="4">
        <v>0</v>
      </c>
      <c r="K14" s="4"/>
      <c r="L14" s="4"/>
      <c r="M14" s="4"/>
      <c r="N14" s="4"/>
      <c r="O14" s="4"/>
      <c r="P14" s="4"/>
    </row>
    <row r="15" spans="1:16" ht="21.95" customHeight="1" x14ac:dyDescent="0.2">
      <c r="A15" s="7" t="s">
        <v>22</v>
      </c>
      <c r="B15" s="8">
        <v>3.1166666666666671</v>
      </c>
      <c r="C15" s="8">
        <v>3.2</v>
      </c>
      <c r="D15" s="9">
        <v>15</v>
      </c>
      <c r="E15" s="9" t="s">
        <v>15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21.95" customHeight="1" x14ac:dyDescent="0.2">
      <c r="A16" s="11" t="s">
        <v>23</v>
      </c>
      <c r="B16" s="12">
        <v>3.1226666666666669</v>
      </c>
      <c r="C16" s="12">
        <v>3.2</v>
      </c>
      <c r="D16" s="13">
        <v>15</v>
      </c>
      <c r="E16" s="13" t="s">
        <v>15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21.95" customHeight="1" x14ac:dyDescent="0.2">
      <c r="A17" s="7" t="s">
        <v>24</v>
      </c>
      <c r="B17" s="8">
        <v>3.1426666666666661</v>
      </c>
      <c r="C17" s="8">
        <v>3.2</v>
      </c>
      <c r="D17" s="9">
        <v>15</v>
      </c>
      <c r="E17" s="9" t="s">
        <v>15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21.95" customHeight="1" x14ac:dyDescent="0.2">
      <c r="A18" s="11" t="s">
        <v>25</v>
      </c>
      <c r="B18" s="12">
        <v>3.162666666666667</v>
      </c>
      <c r="C18" s="12">
        <v>3.2</v>
      </c>
      <c r="D18" s="13">
        <v>15</v>
      </c>
      <c r="E18" s="13" t="s">
        <v>15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21.95" customHeight="1" x14ac:dyDescent="0.2">
      <c r="A19" s="7" t="s">
        <v>26</v>
      </c>
      <c r="B19" s="8">
        <v>3.1406666666666672</v>
      </c>
      <c r="C19" s="8">
        <v>3.2</v>
      </c>
      <c r="D19" s="9">
        <v>15</v>
      </c>
      <c r="E19" s="9" t="s">
        <v>15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21.95" customHeight="1" x14ac:dyDescent="0.2">
      <c r="A20" s="11" t="s">
        <v>27</v>
      </c>
      <c r="B20" s="12"/>
      <c r="C20" s="12">
        <v>3.2</v>
      </c>
      <c r="D20" s="13">
        <v>0</v>
      </c>
      <c r="E20" s="13" t="s">
        <v>21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21.95" customHeight="1" x14ac:dyDescent="0.2">
      <c r="A21" s="7" t="s">
        <v>28</v>
      </c>
      <c r="B21" s="8"/>
      <c r="C21" s="8">
        <v>3.2</v>
      </c>
      <c r="D21" s="9">
        <v>0</v>
      </c>
      <c r="E21" s="9" t="s">
        <v>21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21.95" customHeight="1" x14ac:dyDescent="0.2">
      <c r="A22" s="11" t="s">
        <v>29</v>
      </c>
      <c r="B22" s="12"/>
      <c r="C22" s="12">
        <v>3.2</v>
      </c>
      <c r="D22" s="13">
        <v>0</v>
      </c>
      <c r="E22" s="13" t="s">
        <v>21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2">
      <c r="A28" s="4"/>
      <c r="B28" s="4"/>
      <c r="C28" s="4"/>
      <c r="D28" s="4"/>
      <c r="E28" s="4"/>
      <c r="F28" s="4"/>
      <c r="G28" s="4"/>
      <c r="H28" s="4"/>
      <c r="I28" s="34" t="s">
        <v>30</v>
      </c>
      <c r="J28" s="32"/>
      <c r="K28" s="32"/>
      <c r="L28" s="32"/>
      <c r="M28" s="32"/>
      <c r="N28" s="32"/>
      <c r="O28" s="32"/>
      <c r="P28" s="32"/>
    </row>
    <row r="29" spans="1:16" x14ac:dyDescent="0.2">
      <c r="A29" s="4"/>
      <c r="B29" s="4"/>
      <c r="C29" s="4"/>
      <c r="D29" s="4"/>
      <c r="E29" s="4"/>
      <c r="F29" s="4"/>
      <c r="G29" s="4"/>
      <c r="H29" s="4"/>
      <c r="I29" s="14" t="s">
        <v>31</v>
      </c>
      <c r="J29" s="14" t="s">
        <v>32</v>
      </c>
      <c r="K29" s="14" t="s">
        <v>33</v>
      </c>
      <c r="L29" s="14" t="s">
        <v>34</v>
      </c>
      <c r="M29" s="4"/>
      <c r="N29" s="4"/>
      <c r="O29" s="4"/>
      <c r="P29" s="4"/>
    </row>
    <row r="30" spans="1:16" x14ac:dyDescent="0.2">
      <c r="A30" s="4"/>
      <c r="B30" s="4"/>
      <c r="C30" s="4"/>
      <c r="D30" s="4"/>
      <c r="E30" s="4"/>
      <c r="F30" s="4"/>
      <c r="G30" s="4"/>
      <c r="H30" s="4"/>
      <c r="I30" s="7" t="s">
        <v>35</v>
      </c>
      <c r="J30" s="9" t="s">
        <v>36</v>
      </c>
      <c r="K30" s="8">
        <v>3.276666666666666</v>
      </c>
      <c r="L30" s="9" t="s">
        <v>17</v>
      </c>
      <c r="M30" s="4"/>
      <c r="N30" s="4"/>
      <c r="O30" s="4"/>
      <c r="P30" s="4"/>
    </row>
    <row r="31" spans="1:16" x14ac:dyDescent="0.2">
      <c r="A31" s="4"/>
      <c r="B31" s="4"/>
      <c r="C31" s="4"/>
      <c r="D31" s="4"/>
      <c r="E31" s="4"/>
      <c r="F31" s="4"/>
      <c r="G31" s="4"/>
      <c r="H31" s="4"/>
      <c r="I31" s="11" t="s">
        <v>37</v>
      </c>
      <c r="J31" s="13" t="s">
        <v>38</v>
      </c>
      <c r="K31" s="12">
        <v>3.244444444444444</v>
      </c>
      <c r="L31" s="13" t="s">
        <v>17</v>
      </c>
      <c r="M31" s="4"/>
      <c r="N31" s="4"/>
      <c r="O31" s="4"/>
      <c r="P31" s="4"/>
    </row>
    <row r="32" spans="1:16" x14ac:dyDescent="0.2">
      <c r="A32" s="4"/>
      <c r="B32" s="4"/>
      <c r="C32" s="4"/>
      <c r="D32" s="4"/>
      <c r="E32" s="4"/>
      <c r="F32" s="4"/>
      <c r="G32" s="4"/>
      <c r="H32" s="4"/>
      <c r="I32" s="7" t="s">
        <v>39</v>
      </c>
      <c r="J32" s="9" t="s">
        <v>40</v>
      </c>
      <c r="K32" s="8">
        <v>3.2133333333333329</v>
      </c>
      <c r="L32" s="9" t="s">
        <v>17</v>
      </c>
      <c r="M32" s="4"/>
      <c r="N32" s="4"/>
      <c r="O32" s="4"/>
      <c r="P32" s="4"/>
    </row>
    <row r="33" spans="1:16" x14ac:dyDescent="0.2">
      <c r="A33" s="4"/>
      <c r="B33" s="4"/>
      <c r="C33" s="4"/>
      <c r="D33" s="4"/>
      <c r="E33" s="4"/>
      <c r="F33" s="4"/>
      <c r="G33" s="4"/>
      <c r="H33" s="4"/>
      <c r="I33" s="11" t="s">
        <v>41</v>
      </c>
      <c r="J33" s="13" t="s">
        <v>42</v>
      </c>
      <c r="K33" s="12">
        <v>3.2111111111111108</v>
      </c>
      <c r="L33" s="13" t="s">
        <v>17</v>
      </c>
      <c r="M33" s="4"/>
      <c r="N33" s="4"/>
      <c r="O33" s="4"/>
      <c r="P33" s="4"/>
    </row>
    <row r="34" spans="1:16" x14ac:dyDescent="0.2">
      <c r="A34" s="4"/>
      <c r="B34" s="4"/>
      <c r="C34" s="4"/>
      <c r="D34" s="4"/>
      <c r="E34" s="4"/>
      <c r="F34" s="4"/>
      <c r="G34" s="4"/>
      <c r="H34" s="4"/>
      <c r="I34" s="7" t="s">
        <v>43</v>
      </c>
      <c r="J34" s="9" t="s">
        <v>44</v>
      </c>
      <c r="K34" s="8">
        <v>3.181111111111111</v>
      </c>
      <c r="L34" s="9" t="s">
        <v>15</v>
      </c>
      <c r="M34" s="4"/>
      <c r="N34" s="4"/>
      <c r="O34" s="4"/>
      <c r="P34" s="4"/>
    </row>
    <row r="35" spans="1:16" x14ac:dyDescent="0.2">
      <c r="A35" s="4"/>
      <c r="B35" s="4"/>
      <c r="C35" s="4"/>
      <c r="D35" s="4"/>
      <c r="E35" s="4"/>
      <c r="F35" s="4"/>
      <c r="G35" s="4"/>
      <c r="H35" s="4"/>
      <c r="I35" s="11" t="s">
        <v>45</v>
      </c>
      <c r="J35" s="13" t="s">
        <v>46</v>
      </c>
      <c r="K35" s="12">
        <v>3.152222222222222</v>
      </c>
      <c r="L35" s="13" t="s">
        <v>15</v>
      </c>
      <c r="M35" s="4"/>
      <c r="N35" s="4"/>
      <c r="O35" s="4"/>
      <c r="P35" s="4"/>
    </row>
    <row r="36" spans="1:16" x14ac:dyDescent="0.2">
      <c r="A36" s="4"/>
      <c r="B36" s="4"/>
      <c r="C36" s="4"/>
      <c r="D36" s="4"/>
      <c r="E36" s="4"/>
      <c r="F36" s="4"/>
      <c r="G36" s="4"/>
      <c r="H36" s="4"/>
      <c r="I36" s="7" t="s">
        <v>47</v>
      </c>
      <c r="J36" s="9" t="s">
        <v>48</v>
      </c>
      <c r="K36" s="8">
        <v>3.15</v>
      </c>
      <c r="L36" s="9" t="s">
        <v>15</v>
      </c>
      <c r="M36" s="4"/>
      <c r="N36" s="4"/>
      <c r="O36" s="4"/>
      <c r="P36" s="4"/>
    </row>
    <row r="37" spans="1:16" x14ac:dyDescent="0.2">
      <c r="A37" s="4"/>
      <c r="B37" s="4"/>
      <c r="C37" s="4"/>
      <c r="D37" s="4"/>
      <c r="E37" s="4"/>
      <c r="F37" s="4"/>
      <c r="G37" s="4"/>
      <c r="H37" s="4"/>
      <c r="I37" s="11" t="s">
        <v>49</v>
      </c>
      <c r="J37" s="13" t="s">
        <v>50</v>
      </c>
      <c r="K37" s="12">
        <v>3.0966666666666671</v>
      </c>
      <c r="L37" s="13" t="s">
        <v>15</v>
      </c>
      <c r="M37" s="4"/>
      <c r="N37" s="4"/>
      <c r="O37" s="4"/>
      <c r="P37" s="4"/>
    </row>
    <row r="38" spans="1:16" x14ac:dyDescent="0.2">
      <c r="A38" s="4"/>
      <c r="B38" s="4"/>
      <c r="C38" s="4"/>
      <c r="D38" s="4"/>
      <c r="E38" s="4"/>
      <c r="F38" s="4"/>
      <c r="G38" s="4"/>
      <c r="H38" s="4"/>
      <c r="I38" s="7" t="s">
        <v>51</v>
      </c>
      <c r="J38" s="9" t="s">
        <v>52</v>
      </c>
      <c r="K38" s="8">
        <v>3.08</v>
      </c>
      <c r="L38" s="9" t="s">
        <v>15</v>
      </c>
      <c r="M38" s="4"/>
      <c r="N38" s="4"/>
      <c r="O38" s="4"/>
      <c r="P38" s="4"/>
    </row>
    <row r="39" spans="1:16" x14ac:dyDescent="0.2">
      <c r="A39" s="35" t="s">
        <v>53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</row>
    <row r="40" spans="1:16" x14ac:dyDescent="0.2">
      <c r="I40" s="15" t="s">
        <v>54</v>
      </c>
      <c r="J40" s="16" t="s">
        <v>55</v>
      </c>
      <c r="K40" s="17">
        <v>3.0466666666666669</v>
      </c>
      <c r="L40" s="16" t="s">
        <v>15</v>
      </c>
    </row>
    <row r="41" spans="1:16" x14ac:dyDescent="0.2">
      <c r="I41" s="18" t="s">
        <v>56</v>
      </c>
      <c r="J41" s="19" t="s">
        <v>57</v>
      </c>
      <c r="K41" s="20">
        <v>3.0066666666666668</v>
      </c>
      <c r="L41" s="19" t="s">
        <v>15</v>
      </c>
    </row>
    <row r="42" spans="1:16" x14ac:dyDescent="0.2">
      <c r="I42" s="15" t="s">
        <v>58</v>
      </c>
      <c r="J42" s="16" t="s">
        <v>59</v>
      </c>
      <c r="K42" s="17">
        <v>2.9611111111111108</v>
      </c>
      <c r="L42" s="16" t="s">
        <v>15</v>
      </c>
    </row>
    <row r="43" spans="1:16" x14ac:dyDescent="0.2">
      <c r="I43" s="18" t="s">
        <v>60</v>
      </c>
      <c r="J43" s="19" t="s">
        <v>61</v>
      </c>
      <c r="K43" s="20">
        <v>2.9411111111111108</v>
      </c>
      <c r="L43" s="19" t="s">
        <v>15</v>
      </c>
    </row>
    <row r="44" spans="1:16" x14ac:dyDescent="0.2">
      <c r="I44" s="15" t="s">
        <v>62</v>
      </c>
      <c r="J44" s="16" t="s">
        <v>63</v>
      </c>
      <c r="K44" s="17">
        <v>2.8833333333333329</v>
      </c>
      <c r="L44" s="16" t="s">
        <v>15</v>
      </c>
    </row>
  </sheetData>
  <mergeCells count="14">
    <mergeCell ref="I8:P8"/>
    <mergeCell ref="I4:L4"/>
    <mergeCell ref="A39:P39"/>
    <mergeCell ref="I28:P28"/>
    <mergeCell ref="A8:H8"/>
    <mergeCell ref="E5:H6"/>
    <mergeCell ref="I5:L6"/>
    <mergeCell ref="M5:P6"/>
    <mergeCell ref="A5:D6"/>
    <mergeCell ref="M4:P4"/>
    <mergeCell ref="A1:P1"/>
    <mergeCell ref="A4:D4"/>
    <mergeCell ref="A2:P2"/>
    <mergeCell ref="E4:H4"/>
  </mergeCells>
  <conditionalFormatting sqref="E11:E22">
    <cfRule type="cellIs" dxfId="8" priority="1" operator="equal">
      <formula>"Meta atingida"</formula>
    </cfRule>
    <cfRule type="cellIs" dxfId="7" priority="2" operator="equal">
      <formula>"Abaixo da meta"</formula>
    </cfRule>
    <cfRule type="cellIs" dxfId="6" priority="6" operator="equal">
      <formula>"Bom"</formula>
    </cfRule>
    <cfRule type="cellIs" dxfId="5" priority="7" operator="equal">
      <formula>"Ruim"</formula>
    </cfRule>
    <cfRule type="cellIs" dxfId="4" priority="8" operator="equal">
      <formula>"Na meta"</formula>
    </cfRule>
  </conditionalFormatting>
  <conditionalFormatting sqref="L30:L44">
    <cfRule type="cellIs" dxfId="3" priority="3" operator="equal">
      <formula>"Bom"</formula>
    </cfRule>
    <cfRule type="cellIs" dxfId="2" priority="4" operator="equal">
      <formula>"Ruim"</formula>
    </cfRule>
    <cfRule type="cellIs" dxfId="1" priority="5" operator="equal">
      <formula>"Na meta"</formula>
    </cfRule>
  </conditionalFormatting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workbookViewId="0">
      <pane xSplit="2" ySplit="1" topLeftCell="C2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23" customWidth="1"/>
    <col min="2" max="15" width="13.98828125" customWidth="1"/>
  </cols>
  <sheetData>
    <row r="1" spans="1:15" x14ac:dyDescent="0.2">
      <c r="A1" s="1" t="s">
        <v>31</v>
      </c>
      <c r="B1" s="1" t="s">
        <v>32</v>
      </c>
      <c r="C1" s="1" t="s">
        <v>14</v>
      </c>
      <c r="D1" s="1" t="s">
        <v>16</v>
      </c>
      <c r="E1" s="1" t="s">
        <v>18</v>
      </c>
      <c r="F1" s="1" t="s">
        <v>20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64</v>
      </c>
    </row>
    <row r="2" spans="1:15" x14ac:dyDescent="0.2">
      <c r="A2" s="2" t="s">
        <v>37</v>
      </c>
      <c r="B2" s="2" t="s">
        <v>38</v>
      </c>
      <c r="C2" s="3">
        <v>3.18</v>
      </c>
      <c r="D2" s="3">
        <v>3.22</v>
      </c>
      <c r="E2" s="3">
        <v>3.2</v>
      </c>
      <c r="F2" s="3">
        <v>3.25</v>
      </c>
      <c r="G2" s="3">
        <v>3.27</v>
      </c>
      <c r="H2" s="3">
        <v>3.24</v>
      </c>
      <c r="I2" s="3">
        <v>3.28</v>
      </c>
      <c r="J2" s="3">
        <v>3.3</v>
      </c>
      <c r="K2" s="3">
        <v>3.26</v>
      </c>
      <c r="L2" s="2"/>
      <c r="M2" s="2"/>
      <c r="N2" s="2"/>
      <c r="O2" s="3">
        <f>IFERROR(AVERAGE(C2:N2),"")</f>
        <v>3.2444444444444449</v>
      </c>
    </row>
    <row r="3" spans="1:15" x14ac:dyDescent="0.2">
      <c r="A3" s="2" t="s">
        <v>49</v>
      </c>
      <c r="B3" s="2" t="s">
        <v>50</v>
      </c>
      <c r="C3" s="3">
        <v>3.02</v>
      </c>
      <c r="D3" s="3">
        <v>3.05</v>
      </c>
      <c r="E3" s="3">
        <v>3.08</v>
      </c>
      <c r="F3" s="3">
        <v>3.1</v>
      </c>
      <c r="G3" s="3">
        <v>3.12</v>
      </c>
      <c r="H3" s="3">
        <v>3.09</v>
      </c>
      <c r="I3" s="3">
        <v>3.14</v>
      </c>
      <c r="J3" s="3">
        <v>3.16</v>
      </c>
      <c r="K3" s="3">
        <v>3.11</v>
      </c>
      <c r="L3" s="2"/>
      <c r="M3" s="2"/>
      <c r="N3" s="2"/>
      <c r="O3" s="3">
        <f>IFERROR(AVERAGE(C3:N3),"")</f>
        <v>3.0966666666666667</v>
      </c>
    </row>
    <row r="4" spans="1:15" x14ac:dyDescent="0.2">
      <c r="A4" s="2" t="s">
        <v>62</v>
      </c>
      <c r="B4" s="2" t="s">
        <v>63</v>
      </c>
      <c r="C4" s="3">
        <v>2.78</v>
      </c>
      <c r="D4" s="3">
        <v>2.82</v>
      </c>
      <c r="E4" s="3">
        <v>2.85</v>
      </c>
      <c r="F4" s="3">
        <v>2.88</v>
      </c>
      <c r="G4" s="3">
        <v>2.91</v>
      </c>
      <c r="H4" s="3">
        <v>2.89</v>
      </c>
      <c r="I4" s="3">
        <v>2.94</v>
      </c>
      <c r="J4" s="3">
        <v>2.96</v>
      </c>
      <c r="K4" s="3">
        <v>2.92</v>
      </c>
      <c r="L4" s="2"/>
      <c r="M4" s="2"/>
      <c r="N4" s="2"/>
      <c r="O4" s="3">
        <f>IFERROR(AVERAGE(C4:N4),"")</f>
        <v>2.8833333333333337</v>
      </c>
    </row>
    <row r="5" spans="1:15" x14ac:dyDescent="0.2">
      <c r="A5" s="2" t="s">
        <v>45</v>
      </c>
      <c r="B5" s="2" t="s">
        <v>46</v>
      </c>
      <c r="C5" s="3">
        <v>3.08</v>
      </c>
      <c r="D5" s="3">
        <v>3.11</v>
      </c>
      <c r="E5" s="3">
        <v>3.14</v>
      </c>
      <c r="F5" s="3">
        <v>3.13</v>
      </c>
      <c r="G5" s="3">
        <v>3.17</v>
      </c>
      <c r="H5" s="3">
        <v>3.16</v>
      </c>
      <c r="I5" s="3">
        <v>3.19</v>
      </c>
      <c r="J5" s="3">
        <v>3.21</v>
      </c>
      <c r="K5" s="3">
        <v>3.18</v>
      </c>
      <c r="L5" s="2"/>
      <c r="M5" s="2"/>
      <c r="N5" s="2"/>
      <c r="O5" s="3">
        <f>IFERROR(AVERAGE(C5:N5),"")</f>
        <v>3.1522222222222225</v>
      </c>
    </row>
    <row r="6" spans="1:15" x14ac:dyDescent="0.2">
      <c r="A6" s="2" t="s">
        <v>54</v>
      </c>
      <c r="B6" s="2" t="s">
        <v>55</v>
      </c>
      <c r="C6" s="3">
        <v>2.94</v>
      </c>
      <c r="D6" s="3">
        <v>2.98</v>
      </c>
      <c r="E6" s="3">
        <v>3.01</v>
      </c>
      <c r="F6" s="3">
        <v>3.04</v>
      </c>
      <c r="G6" s="3">
        <v>3.06</v>
      </c>
      <c r="H6" s="3">
        <v>3.08</v>
      </c>
      <c r="I6" s="3">
        <v>3.1</v>
      </c>
      <c r="J6" s="3">
        <v>3.12</v>
      </c>
      <c r="K6" s="3">
        <v>3.09</v>
      </c>
      <c r="L6" s="2"/>
      <c r="M6" s="2"/>
      <c r="N6" s="2"/>
      <c r="O6" s="3">
        <f>IFERROR(AVERAGE(C6:N6),"")</f>
        <v>3.0466666666666669</v>
      </c>
    </row>
    <row r="7" spans="1:15" x14ac:dyDescent="0.2">
      <c r="A7" s="2" t="s">
        <v>43</v>
      </c>
      <c r="B7" s="2" t="s">
        <v>44</v>
      </c>
      <c r="C7" s="3">
        <v>3.11</v>
      </c>
      <c r="D7" s="3">
        <v>3.13</v>
      </c>
      <c r="E7" s="3">
        <v>3.16</v>
      </c>
      <c r="F7" s="3">
        <v>3.18</v>
      </c>
      <c r="G7" s="3">
        <v>3.19</v>
      </c>
      <c r="H7" s="3">
        <v>3.21</v>
      </c>
      <c r="I7" s="3">
        <v>3.2</v>
      </c>
      <c r="J7" s="3">
        <v>3.23</v>
      </c>
      <c r="K7" s="3">
        <v>3.22</v>
      </c>
      <c r="L7" s="2"/>
      <c r="M7" s="2"/>
      <c r="N7" s="2"/>
      <c r="O7" s="3">
        <f>IFERROR(AVERAGE(C7:N7),"")</f>
        <v>3.181111111111111</v>
      </c>
    </row>
    <row r="8" spans="1:15" x14ac:dyDescent="0.2">
      <c r="A8" s="2" t="s">
        <v>58</v>
      </c>
      <c r="B8" s="2" t="s">
        <v>59</v>
      </c>
      <c r="C8" s="3">
        <v>2.86</v>
      </c>
      <c r="D8" s="3">
        <v>2.89</v>
      </c>
      <c r="E8" s="3">
        <v>2.92</v>
      </c>
      <c r="F8" s="3">
        <v>2.95</v>
      </c>
      <c r="G8" s="3">
        <v>2.97</v>
      </c>
      <c r="H8" s="3">
        <v>2.99</v>
      </c>
      <c r="I8" s="3">
        <v>3.02</v>
      </c>
      <c r="J8" s="3">
        <v>3.04</v>
      </c>
      <c r="K8" s="3">
        <v>3.01</v>
      </c>
      <c r="L8" s="2"/>
      <c r="M8" s="2"/>
      <c r="N8" s="2"/>
      <c r="O8" s="3">
        <f>IFERROR(AVERAGE(C8:N8),"")</f>
        <v>2.9611111111111108</v>
      </c>
    </row>
    <row r="9" spans="1:15" x14ac:dyDescent="0.2">
      <c r="A9" s="2" t="s">
        <v>35</v>
      </c>
      <c r="B9" s="2" t="s">
        <v>36</v>
      </c>
      <c r="C9" s="3">
        <v>3.24</v>
      </c>
      <c r="D9" s="3">
        <v>3.21</v>
      </c>
      <c r="E9" s="3">
        <v>3.26</v>
      </c>
      <c r="F9" s="3">
        <v>3.28</v>
      </c>
      <c r="G9" s="3">
        <v>3.3</v>
      </c>
      <c r="H9" s="3">
        <v>3.27</v>
      </c>
      <c r="I9" s="3">
        <v>3.31</v>
      </c>
      <c r="J9" s="3">
        <v>3.33</v>
      </c>
      <c r="K9" s="3">
        <v>3.29</v>
      </c>
      <c r="L9" s="2"/>
      <c r="M9" s="2"/>
      <c r="N9" s="2"/>
      <c r="O9" s="3">
        <f>IFERROR(AVERAGE(C9:N9),"")</f>
        <v>3.276666666666666</v>
      </c>
    </row>
    <row r="10" spans="1:15" x14ac:dyDescent="0.2">
      <c r="A10" s="2" t="s">
        <v>65</v>
      </c>
      <c r="B10" s="2" t="s">
        <v>66</v>
      </c>
      <c r="C10" s="3">
        <v>3</v>
      </c>
      <c r="D10" s="3">
        <v>3.02</v>
      </c>
      <c r="E10" s="3">
        <v>3.05</v>
      </c>
      <c r="F10" s="3">
        <v>3.07</v>
      </c>
      <c r="G10" s="3">
        <v>3.09</v>
      </c>
      <c r="H10" s="3">
        <v>3.11</v>
      </c>
      <c r="I10" s="3">
        <v>3.1</v>
      </c>
      <c r="J10" s="3">
        <v>3.13</v>
      </c>
      <c r="K10" s="3">
        <v>3.12</v>
      </c>
      <c r="L10" s="2"/>
      <c r="M10" s="2"/>
      <c r="N10" s="2"/>
      <c r="O10" s="3">
        <f>IFERROR(AVERAGE(C10:N10),"")</f>
        <v>3.0766666666666667</v>
      </c>
    </row>
    <row r="11" spans="1:15" x14ac:dyDescent="0.2">
      <c r="A11" s="2" t="s">
        <v>56</v>
      </c>
      <c r="B11" s="2" t="s">
        <v>57</v>
      </c>
      <c r="C11" s="3">
        <v>2.91</v>
      </c>
      <c r="D11" s="3">
        <v>2.94</v>
      </c>
      <c r="E11" s="3">
        <v>2.97</v>
      </c>
      <c r="F11" s="3">
        <v>2.99</v>
      </c>
      <c r="G11" s="3">
        <v>3.02</v>
      </c>
      <c r="H11" s="3">
        <v>3.04</v>
      </c>
      <c r="I11" s="3">
        <v>3.06</v>
      </c>
      <c r="J11" s="3">
        <v>3.08</v>
      </c>
      <c r="K11" s="3">
        <v>3.05</v>
      </c>
      <c r="L11" s="2"/>
      <c r="M11" s="2"/>
      <c r="N11" s="2"/>
      <c r="O11" s="3">
        <f>IFERROR(AVERAGE(C11:N11),"")</f>
        <v>3.0066666666666664</v>
      </c>
    </row>
    <row r="12" spans="1:15" x14ac:dyDescent="0.2">
      <c r="A12" s="2" t="s">
        <v>39</v>
      </c>
      <c r="B12" s="2" t="s">
        <v>40</v>
      </c>
      <c r="C12" s="3">
        <v>3.15</v>
      </c>
      <c r="D12" s="3">
        <v>3.17</v>
      </c>
      <c r="E12" s="3">
        <v>3.19</v>
      </c>
      <c r="F12" s="3">
        <v>3.21</v>
      </c>
      <c r="G12" s="3">
        <v>3.22</v>
      </c>
      <c r="H12" s="3">
        <v>3.24</v>
      </c>
      <c r="I12" s="3">
        <v>3.23</v>
      </c>
      <c r="J12" s="3">
        <v>3.25</v>
      </c>
      <c r="K12" s="3">
        <v>3.26</v>
      </c>
      <c r="L12" s="2"/>
      <c r="M12" s="2"/>
      <c r="N12" s="2"/>
      <c r="O12" s="3">
        <f>IFERROR(AVERAGE(C12:N12),"")</f>
        <v>3.2133333333333334</v>
      </c>
    </row>
    <row r="13" spans="1:15" x14ac:dyDescent="0.2">
      <c r="A13" s="2" t="s">
        <v>60</v>
      </c>
      <c r="B13" s="2" t="s">
        <v>61</v>
      </c>
      <c r="C13" s="3">
        <v>2.83</v>
      </c>
      <c r="D13" s="3">
        <v>2.87</v>
      </c>
      <c r="E13" s="3">
        <v>2.9</v>
      </c>
      <c r="F13" s="3">
        <v>2.93</v>
      </c>
      <c r="G13" s="3">
        <v>2.95</v>
      </c>
      <c r="H13" s="3">
        <v>2.98</v>
      </c>
      <c r="I13" s="3">
        <v>3</v>
      </c>
      <c r="J13" s="3">
        <v>3.02</v>
      </c>
      <c r="K13" s="3">
        <v>2.99</v>
      </c>
      <c r="L13" s="2"/>
      <c r="M13" s="2"/>
      <c r="N13" s="2"/>
      <c r="O13" s="3">
        <f>IFERROR(AVERAGE(C13:N13),"")</f>
        <v>2.9411111111111108</v>
      </c>
    </row>
    <row r="14" spans="1:15" x14ac:dyDescent="0.2">
      <c r="A14" s="2" t="s">
        <v>47</v>
      </c>
      <c r="B14" s="2" t="s">
        <v>48</v>
      </c>
      <c r="C14" s="3">
        <v>3.06</v>
      </c>
      <c r="D14" s="3">
        <v>3.09</v>
      </c>
      <c r="E14" s="3">
        <v>3.12</v>
      </c>
      <c r="F14" s="3">
        <v>3.14</v>
      </c>
      <c r="G14" s="3">
        <v>3.16</v>
      </c>
      <c r="H14" s="3">
        <v>3.18</v>
      </c>
      <c r="I14" s="3">
        <v>3.2</v>
      </c>
      <c r="J14" s="3">
        <v>3.19</v>
      </c>
      <c r="K14" s="3">
        <v>3.21</v>
      </c>
      <c r="L14" s="2"/>
      <c r="M14" s="2"/>
      <c r="N14" s="2"/>
      <c r="O14" s="3">
        <f>IFERROR(AVERAGE(C14:N14),"")</f>
        <v>3.1500000000000004</v>
      </c>
    </row>
    <row r="15" spans="1:15" x14ac:dyDescent="0.2">
      <c r="A15" s="2" t="s">
        <v>51</v>
      </c>
      <c r="B15" s="2" t="s">
        <v>52</v>
      </c>
      <c r="C15" s="3">
        <v>2.98</v>
      </c>
      <c r="D15" s="3">
        <v>3.01</v>
      </c>
      <c r="E15" s="3">
        <v>3.04</v>
      </c>
      <c r="F15" s="3">
        <v>3.07</v>
      </c>
      <c r="G15" s="3">
        <v>3.09</v>
      </c>
      <c r="H15" s="3">
        <v>3.11</v>
      </c>
      <c r="I15" s="3">
        <v>3.13</v>
      </c>
      <c r="J15" s="3">
        <v>3.15</v>
      </c>
      <c r="K15" s="3">
        <v>3.14</v>
      </c>
      <c r="L15" s="2"/>
      <c r="M15" s="2"/>
      <c r="N15" s="2"/>
      <c r="O15" s="3">
        <f>IFERROR(AVERAGE(C15:N15),"")</f>
        <v>3.08</v>
      </c>
    </row>
    <row r="16" spans="1:15" x14ac:dyDescent="0.2">
      <c r="A16" s="2" t="s">
        <v>41</v>
      </c>
      <c r="B16" s="2" t="s">
        <v>42</v>
      </c>
      <c r="C16" s="3">
        <v>3.12</v>
      </c>
      <c r="D16" s="3">
        <v>3.15</v>
      </c>
      <c r="E16" s="3">
        <v>3.18</v>
      </c>
      <c r="F16" s="3">
        <v>3.2</v>
      </c>
      <c r="G16" s="3">
        <v>3.23</v>
      </c>
      <c r="H16" s="3">
        <v>3.25</v>
      </c>
      <c r="I16" s="3">
        <v>3.24</v>
      </c>
      <c r="J16" s="3">
        <v>3.27</v>
      </c>
      <c r="K16" s="3">
        <v>3.26</v>
      </c>
      <c r="L16" s="2"/>
      <c r="M16" s="2"/>
      <c r="N16" s="2"/>
      <c r="O16" s="3">
        <f>IFERROR(AVERAGE(C16:N16),"")</f>
        <v>3.2111111111111108</v>
      </c>
    </row>
  </sheetData>
  <autoFilter ref="A1:P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2" width="23.9453125" customWidth="1"/>
    <col min="3" max="3" width="16.0078125" customWidth="1"/>
    <col min="4" max="5" width="22.05859375" customWidth="1"/>
  </cols>
  <sheetData>
    <row r="1" spans="1:5" x14ac:dyDescent="0.2">
      <c r="A1" s="1" t="s">
        <v>8</v>
      </c>
      <c r="B1" s="1" t="s">
        <v>67</v>
      </c>
      <c r="C1" s="1" t="s">
        <v>68</v>
      </c>
      <c r="D1" s="1" t="s">
        <v>69</v>
      </c>
      <c r="E1" s="1" t="s">
        <v>34</v>
      </c>
    </row>
    <row r="2" spans="1:5" x14ac:dyDescent="0.2">
      <c r="A2" s="2" t="s">
        <v>14</v>
      </c>
      <c r="B2" s="3">
        <f>IFERROR(AVERAGE('Média Mensal'!C2:C16),"")</f>
        <v>3.0173333333333332</v>
      </c>
      <c r="C2" s="3">
        <v>3.2</v>
      </c>
      <c r="D2" s="2">
        <f>COUNT('Média Mensal'!C2:C16)</f>
        <v>15</v>
      </c>
      <c r="E2" s="2" t="str">
        <f>IF(B2="","Sem dados",IF(B2&lt;C2,"Bom",IF(B2&gt;C2,"Ruim","Na meta")))</f>
        <v>Bom</v>
      </c>
    </row>
    <row r="3" spans="1:5" x14ac:dyDescent="0.2">
      <c r="A3" s="2" t="s">
        <v>16</v>
      </c>
      <c r="B3" s="3">
        <f>IFERROR(AVERAGE('Média Mensal'!D2:D16),"")</f>
        <v>3.0439999999999996</v>
      </c>
      <c r="C3" s="3">
        <v>3.2</v>
      </c>
      <c r="D3" s="2">
        <f>COUNT('Média Mensal'!D2:D16)</f>
        <v>15</v>
      </c>
      <c r="E3" s="2" t="str">
        <f>IF(B3="","Sem dados",IF(B3&lt;C3,"Bom",IF(B3&gt;C3,"Ruim","Na meta")))</f>
        <v>Bom</v>
      </c>
    </row>
    <row r="4" spans="1:5" x14ac:dyDescent="0.2">
      <c r="A4" s="2" t="s">
        <v>18</v>
      </c>
      <c r="B4" s="3">
        <f>IFERROR(AVERAGE('Média Mensal'!E2:E16),"")</f>
        <v>3.071333333333333</v>
      </c>
      <c r="C4" s="3">
        <v>3.2</v>
      </c>
      <c r="D4" s="2">
        <f>COUNT('Média Mensal'!E2:E16)</f>
        <v>15</v>
      </c>
      <c r="E4" s="2" t="str">
        <f>IF(B4="","Sem dados",IF(B4&lt;C4,"Bom",IF(B4&gt;C4,"Ruim","Na meta")))</f>
        <v>Bom</v>
      </c>
    </row>
    <row r="5" spans="1:5" x14ac:dyDescent="0.2">
      <c r="A5" s="2" t="s">
        <v>20</v>
      </c>
      <c r="B5" s="3">
        <f>IFERROR(AVERAGE('Média Mensal'!F2:F16),"")</f>
        <v>3.0946666666666669</v>
      </c>
      <c r="C5" s="3">
        <v>3.2</v>
      </c>
      <c r="D5" s="2">
        <f>COUNT('Média Mensal'!F2:F16)</f>
        <v>15</v>
      </c>
      <c r="E5" s="2" t="str">
        <f>IF(B5="","Sem dados",IF(B5&lt;C5,"Bom",IF(B5&gt;C5,"Ruim","Na meta")))</f>
        <v>Bom</v>
      </c>
    </row>
    <row r="6" spans="1:5" x14ac:dyDescent="0.2">
      <c r="A6" s="2" t="s">
        <v>22</v>
      </c>
      <c r="B6" s="3">
        <f>IFERROR(AVERAGE('Média Mensal'!G2:G16),"")</f>
        <v>3.1166666666666671</v>
      </c>
      <c r="C6" s="3">
        <v>3.2</v>
      </c>
      <c r="D6" s="2">
        <f>COUNT('Média Mensal'!G2:G16)</f>
        <v>15</v>
      </c>
      <c r="E6" s="2" t="str">
        <f>IF(B6="","Sem dados",IF(B6&lt;C6,"Bom",IF(B6&gt;C6,"Ruim","Na meta")))</f>
        <v>Bom</v>
      </c>
    </row>
    <row r="7" spans="1:5" x14ac:dyDescent="0.2">
      <c r="A7" s="2" t="s">
        <v>23</v>
      </c>
      <c r="B7" s="3">
        <f>IFERROR(AVERAGE('Média Mensal'!H2:H16),"")</f>
        <v>3.1226666666666665</v>
      </c>
      <c r="C7" s="3">
        <v>3.2</v>
      </c>
      <c r="D7" s="2">
        <f>COUNT('Média Mensal'!H2:H16)</f>
        <v>15</v>
      </c>
      <c r="E7" s="2" t="str">
        <f>IF(B7="","Sem dados",IF(B7&lt;C7,"Bom",IF(B7&gt;C7,"Ruim","Na meta")))</f>
        <v>Bom</v>
      </c>
    </row>
    <row r="8" spans="1:5" x14ac:dyDescent="0.2">
      <c r="A8" s="2" t="s">
        <v>24</v>
      </c>
      <c r="B8" s="3">
        <f>IFERROR(AVERAGE('Média Mensal'!I2:I16),"")</f>
        <v>3.1426666666666665</v>
      </c>
      <c r="C8" s="3">
        <v>3.2</v>
      </c>
      <c r="D8" s="2">
        <f>COUNT('Média Mensal'!I2:I16)</f>
        <v>15</v>
      </c>
      <c r="E8" s="2" t="str">
        <f>IF(B8="","Sem dados",IF(B8&lt;C8,"Bom",IF(B8&gt;C8,"Ruim","Na meta")))</f>
        <v>Bom</v>
      </c>
    </row>
    <row r="9" spans="1:5" x14ac:dyDescent="0.2">
      <c r="A9" s="2" t="s">
        <v>25</v>
      </c>
      <c r="B9" s="3">
        <f>IFERROR(AVERAGE('Média Mensal'!J2:J16),"")</f>
        <v>3.162666666666667</v>
      </c>
      <c r="C9" s="3">
        <v>3.2</v>
      </c>
      <c r="D9" s="2">
        <f>COUNT('Média Mensal'!J2:J16)</f>
        <v>15</v>
      </c>
      <c r="E9" s="2" t="str">
        <f>IF(B9="","Sem dados",IF(B9&lt;C9,"Bom",IF(B9&gt;C9,"Ruim","Na meta")))</f>
        <v>Bom</v>
      </c>
    </row>
    <row r="10" spans="1:5" x14ac:dyDescent="0.2">
      <c r="A10" s="2" t="s">
        <v>26</v>
      </c>
      <c r="B10" s="3">
        <f>IFERROR(AVERAGE('Média Mensal'!K2:K16),"")</f>
        <v>3.1406666666666667</v>
      </c>
      <c r="C10" s="3">
        <v>3.2</v>
      </c>
      <c r="D10" s="2">
        <f>COUNT('Média Mensal'!K2:K16)</f>
        <v>15</v>
      </c>
      <c r="E10" s="2" t="str">
        <f>IF(B10="","Sem dados",IF(B10&lt;C10,"Bom",IF(B10&gt;C10,"Ruim","Na meta")))</f>
        <v>Bom</v>
      </c>
    </row>
    <row r="11" spans="1:5" x14ac:dyDescent="0.2">
      <c r="A11" s="2" t="s">
        <v>27</v>
      </c>
      <c r="B11" s="3" t="str">
        <f>IFERROR(AVERAGE('Média Mensal'!L2:L16),"")</f>
        <v/>
      </c>
      <c r="C11" s="3">
        <v>3.2</v>
      </c>
      <c r="D11" s="2">
        <f>COUNT('Média Mensal'!L2:L16)</f>
        <v>0</v>
      </c>
      <c r="E11" s="2" t="str">
        <f>IF(B11="","Sem dados",IF(B11&lt;C11,"Bom",IF(B11&gt;C11,"Ruim","Na meta")))</f>
        <v>Sem dados</v>
      </c>
    </row>
    <row r="12" spans="1:5" x14ac:dyDescent="0.2">
      <c r="A12" s="2" t="s">
        <v>28</v>
      </c>
      <c r="B12" s="3" t="str">
        <f>IFERROR(AVERAGE('Média Mensal'!M2:M16),"")</f>
        <v/>
      </c>
      <c r="C12" s="3">
        <v>3.2</v>
      </c>
      <c r="D12" s="2">
        <f>COUNT('Média Mensal'!M2:M16)</f>
        <v>0</v>
      </c>
      <c r="E12" s="2" t="str">
        <f>IF(B12="","Sem dados",IF(B12&lt;C12,"Bom",IF(B12&gt;C12,"Ruim","Na meta")))</f>
        <v>Sem dados</v>
      </c>
    </row>
    <row r="13" spans="1:5" x14ac:dyDescent="0.2">
      <c r="A13" s="2" t="s">
        <v>29</v>
      </c>
      <c r="B13" s="3" t="str">
        <f>IFERROR(AVERAGE('Média Mensal'!N2:N16),"")</f>
        <v/>
      </c>
      <c r="C13" s="3">
        <v>3.2</v>
      </c>
      <c r="D13" s="2">
        <f>COUNT('Média Mensal'!N2:N16)</f>
        <v>0</v>
      </c>
      <c r="E13" s="2" t="str">
        <f>IF(B13="","Sem dados",IF(B13&lt;C13,"Bom",IF(B13&gt;C13,"Ruim","Na meta")))</f>
        <v>Sem dados</v>
      </c>
    </row>
  </sheetData>
  <conditionalFormatting sqref="B2:B13">
    <cfRule type="cellIs" dxfId="0" priority="1" operator="greaterThanOrEqual">
      <formula>3.2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Dashboard</vt:lpstr>
      <vt:lpstr>Média Mensal</vt:lpstr>
      <vt:lpstr>Resumo Mensal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2026-09-30T18:42:34Z</dcterms:created>
  <dcterms:modified xsi:type="dcterms:W3CDTF">2026-10-16T17:26:13Z</dcterms:modified>
</cp:coreProperties>
</file>